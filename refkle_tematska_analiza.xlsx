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2" sheetId="1" r:id="rId4"/>
  </sheets>
  <definedNames/>
  <calcPr/>
</workbook>
</file>

<file path=xl/sharedStrings.xml><?xml version="1.0" encoding="utf-8"?>
<sst xmlns="http://schemas.openxmlformats.org/spreadsheetml/2006/main" count="149" uniqueCount="125">
  <si>
    <t>Oseba</t>
  </si>
  <si>
    <t>Način beleženja</t>
  </si>
  <si>
    <t>Negativne kode</t>
  </si>
  <si>
    <t>Pozitivno kode</t>
  </si>
  <si>
    <t>Koda</t>
  </si>
  <si>
    <t>Termin</t>
  </si>
  <si>
    <t>Definicija / Razlaga</t>
  </si>
  <si>
    <t>Frekvenca</t>
  </si>
  <si>
    <t>Citati</t>
  </si>
  <si>
    <t>P1</t>
  </si>
  <si>
    <t>Papir/Zvezek</t>
  </si>
  <si>
    <t>NZPD; OBRE; INFR;ZNES</t>
  </si>
  <si>
    <t>FLEX; ENST</t>
  </si>
  <si>
    <t>INFR</t>
  </si>
  <si>
    <t>Infraskruktura</t>
  </si>
  <si>
    <t>Težave s strojno opremo, vzdrževanje, težave z infrastrukturo, zanesljivost sistema, rigidnost sistema.</t>
  </si>
  <si>
    <t>"Gneča pri vhodu ob začetku/koncu izmene", "Včasih izpad sistema/čitalnika, posledično: ročno dopisovanje, kasnejše usklajevanje","Ob okvari sistema nastane popoln zastoj"</t>
  </si>
  <si>
    <t>P2</t>
  </si>
  <si>
    <t>RFID kartica</t>
  </si>
  <si>
    <t>INFR; ZNES; OBRE</t>
  </si>
  <si>
    <t>ENST</t>
  </si>
  <si>
    <t>NADZ</t>
  </si>
  <si>
    <t>Občutek nadzora</t>
  </si>
  <si>
    <t>Psihološki pritisk na zaposlenega zaradi beleženja lokacije (GPS) ali biometrije. Zasebnost.</t>
  </si>
  <si>
    <t>"Pomisleki glede zasebnosti in varstva osebnih podatkov.", "Občutek nadzora in nezaupanja."</t>
  </si>
  <si>
    <t>P3</t>
  </si>
  <si>
    <t>Papirni listi</t>
  </si>
  <si>
    <t>NZPD; ZNES;</t>
  </si>
  <si>
    <t>FLEX; OPVD</t>
  </si>
  <si>
    <t>NZPD</t>
  </si>
  <si>
    <t>Nezanesljivost podatkov</t>
  </si>
  <si>
    <t>Človeška napaka, subjektivnost, fragmentacija, izguba podatkov, verifikacija</t>
  </si>
  <si>
    <t>"Pojavljajo se težave z zaupanjem", "Mešano (na dveh platformah), glede na ticket.", "Težko dokazljivo ob morebitnih sporih."</t>
  </si>
  <si>
    <t>P4</t>
  </si>
  <si>
    <t>Kartica+Terminal</t>
  </si>
  <si>
    <t>OBRE; INFR</t>
  </si>
  <si>
    <t>ZVEL</t>
  </si>
  <si>
    <t>OBRE</t>
  </si>
  <si>
    <t>Operativno Breme</t>
  </si>
  <si>
    <t>Administrativno breme, kognitivna obremenitev, čakalne vrste, zastarelost</t>
  </si>
  <si>
    <t>"Manj natančno, ljudje pišejo zaokrožene čase ali naknadno dopisujejo."," Gneča pri vhodu ob začetku/koncu izmene", "Zastarelo, veliko ročnega dela v kadrovski služb."</t>
  </si>
  <si>
    <t>P5</t>
  </si>
  <si>
    <t>Spletni portal</t>
  </si>
  <si>
    <t>INFR; OBRE</t>
  </si>
  <si>
    <t>ZVEL; FLEX</t>
  </si>
  <si>
    <t>ZNES</t>
  </si>
  <si>
    <t>Zakonska neskladnost</t>
  </si>
  <si>
    <t>Sistem ne izpolnjuje vseh zahtev posodobljene zakonodaje, podatki so težko dosegljivi, ne transparentni.</t>
  </si>
  <si>
    <t>"Težko dobiti uradna poročila", "Če kartica ne deluje, se celoten obhod ne zabeleži pravilno", "Malo vpogleda v lastne ure."</t>
  </si>
  <si>
    <t>P6</t>
  </si>
  <si>
    <t>JIRA/ClickUp</t>
  </si>
  <si>
    <t>ZNES; NZPD</t>
  </si>
  <si>
    <t>OPVD</t>
  </si>
  <si>
    <t>P7</t>
  </si>
  <si>
    <t>Kombinacija</t>
  </si>
  <si>
    <t>Citat</t>
  </si>
  <si>
    <t>P8</t>
  </si>
  <si>
    <t>Excel (vodja)</t>
  </si>
  <si>
    <t>ZNES; NZPD;</t>
  </si>
  <si>
    <t>NSTRO; FLEX</t>
  </si>
  <si>
    <t>Enostavnost</t>
  </si>
  <si>
    <t xml:space="preserve">Avtomatizacija, preprostost, navajenost, enostaven prehod, </t>
  </si>
  <si>
    <t>"Preprosto, ne rabi nobene opreme ali prijave", "Hitro, ko deluje; čas se zabeleži avtomatsko.", "Sproten vpogled: takoj vidim stanje ur, dopust, nadure."</t>
  </si>
  <si>
    <t>P9</t>
  </si>
  <si>
    <t>Biometrija</t>
  </si>
  <si>
    <t>NADZ; INFR</t>
  </si>
  <si>
    <t>ENST; ZVEL</t>
  </si>
  <si>
    <t>FLEX</t>
  </si>
  <si>
    <t>Fleksibilnost</t>
  </si>
  <si>
    <t>Podpora za različne oblike dela, vključno s terenskim in hibridnim delom.</t>
  </si>
  <si>
    <t>"Prilagodljivo glede na menjave izmen, menjave zaposlenih.", " Pokrije oba sveta: pisarna je avtomatska, teren se dopolni ročno.", "Ni fizičnih vrst, deluje od doma."</t>
  </si>
  <si>
    <t>P10</t>
  </si>
  <si>
    <t>Urniki+Ročno</t>
  </si>
  <si>
    <t>INFR; NZPD; ZNES</t>
  </si>
  <si>
    <t>INTE</t>
  </si>
  <si>
    <t>Integracija</t>
  </si>
  <si>
    <t>Povezanost z obstoječimi orodji, ki jih zaposleni že uporabljajo (JIRA, Slack).</t>
  </si>
  <si>
    <t>"Integrirano v orodje, ki ga zaposleni že uporabljajo."</t>
  </si>
  <si>
    <t>P11</t>
  </si>
  <si>
    <t>Mob. aplikacija</t>
  </si>
  <si>
    <t>NSTRO</t>
  </si>
  <si>
    <t>Nizki stroški</t>
  </si>
  <si>
    <t>Rešitev ne zahteva investicij v drago strojno opremo ali licence.</t>
  </si>
  <si>
    <t>"Nizki stroški, prilagodljivo majhnemu timu.", "Enostavno za vodjo, ni dodatnih stroškov za sistem"</t>
  </si>
  <si>
    <t>P12</t>
  </si>
  <si>
    <t>Klasika+Kartica</t>
  </si>
  <si>
    <t>OBRE; ZNES</t>
  </si>
  <si>
    <t>ZVEL; ENST</t>
  </si>
  <si>
    <t>Operativno vodenje</t>
  </si>
  <si>
    <t>Analitična vrednost, enostavna analiza podatkov, projektna usmerjenost, skupinsko beleženje.</t>
  </si>
  <si>
    <t>"Vodja ekipe lahko hitro zabeleži za vse", "Enostavno analizirati (po projektih, sprintih, tickets)."</t>
  </si>
  <si>
    <t>P13</t>
  </si>
  <si>
    <t>Zvezek+Podpis</t>
  </si>
  <si>
    <t>ENST; FLEX</t>
  </si>
  <si>
    <t>Zakonska veljavnost</t>
  </si>
  <si>
    <t>Zakonska upravičenost, veljavnost, preprečevanje zlorab, uradnost, potrditev, standarizacija, dokazljivost, lokacijska potrditev</t>
  </si>
  <si>
    <t>"Dokaz, da so bili obhodi opravljeni.",  "Manj zlorab (prihod/odhod na napačni lokaciji).", "Lažje oddati prošnje/popravke in imeti zgodovino"</t>
  </si>
  <si>
    <t>P14</t>
  </si>
  <si>
    <t>Aplikacija (GPS)</t>
  </si>
  <si>
    <t>NADZ; INFR; OBRE</t>
  </si>
  <si>
    <t>P15</t>
  </si>
  <si>
    <t>Kontrolne točke</t>
  </si>
  <si>
    <t xml:space="preserve">INFR; ZNES; </t>
  </si>
  <si>
    <t>P16</t>
  </si>
  <si>
    <t>Excel (mesečno)</t>
  </si>
  <si>
    <t>OBRE; NZPD</t>
  </si>
  <si>
    <t>Tema</t>
  </si>
  <si>
    <t>Kode</t>
  </si>
  <si>
    <t>P17</t>
  </si>
  <si>
    <t>Slack bot</t>
  </si>
  <si>
    <t>INTE; ENST</t>
  </si>
  <si>
    <t>Pravna skladnost in transparentnost</t>
  </si>
  <si>
    <t>ZNES; ZVEL; NZPD</t>
  </si>
  <si>
    <t>P18</t>
  </si>
  <si>
    <t>Meh. štempljarka</t>
  </si>
  <si>
    <t>Operativna učinkovitost in zanesljivost</t>
  </si>
  <si>
    <t>INFR; OBRE; ENST</t>
  </si>
  <si>
    <t>P19</t>
  </si>
  <si>
    <t>Tedensko poročilo</t>
  </si>
  <si>
    <t>Sodobna fleksibilnost in nadzor</t>
  </si>
  <si>
    <t>FLEX, NADZ</t>
  </si>
  <si>
    <t>P20</t>
  </si>
  <si>
    <t>Papir+Excel</t>
  </si>
  <si>
    <t>Operativno vodenje in stroški integracije</t>
  </si>
  <si>
    <t>NSTRO; OPVD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</si>
</sst>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2]\ 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vertical="top"/>
    </xf>
    <xf borderId="0" fillId="3" fontId="2" numFmtId="0" xfId="0" applyAlignment="1" applyFill="1" applyFont="1">
      <alignment horizontal="left" readingOrder="0" vertical="top"/>
    </xf>
    <xf borderId="0" fillId="4" fontId="2" numFmtId="0" xfId="0" applyAlignment="1" applyFill="1" applyFont="1">
      <alignment horizontal="left" readingOrder="0" vertical="top"/>
    </xf>
    <xf borderId="0" fillId="5" fontId="2" numFmtId="0" xfId="0" applyAlignment="1" applyFill="1" applyFont="1">
      <alignment horizontal="left" readingOrder="0" vertical="top"/>
    </xf>
    <xf borderId="0" fillId="6" fontId="2" numFmtId="0" xfId="0" applyAlignment="1" applyFill="1" applyFont="1">
      <alignment horizontal="left" readingOrder="0" vertical="top"/>
    </xf>
    <xf borderId="0" fillId="7" fontId="2" numFmtId="0" xfId="0" applyAlignment="1" applyFill="1" applyFont="1">
      <alignment horizontal="left" readingOrder="0" vertical="top"/>
    </xf>
    <xf borderId="0" fillId="7" fontId="1" numFmtId="0" xfId="0" applyAlignment="1" applyFont="1">
      <alignment readingOrder="0"/>
    </xf>
    <xf borderId="0" fillId="0" fontId="1" numFmtId="0" xfId="0" applyAlignment="1" applyFont="1">
      <alignment horizontal="left" readingOrder="0" vertical="top"/>
    </xf>
    <xf borderId="0" fillId="7" fontId="1" numFmtId="0" xfId="0" applyAlignment="1" applyFont="1">
      <alignment horizontal="left" readingOrder="0" vertical="top"/>
    </xf>
    <xf borderId="0" fillId="6" fontId="1" numFmtId="0" xfId="0" applyAlignment="1" applyFont="1">
      <alignment horizontal="left" readingOrder="0" vertical="top"/>
    </xf>
    <xf borderId="0" fillId="0" fontId="1" numFmtId="9" xfId="0" applyAlignment="1" applyFont="1" applyNumberFormat="1">
      <alignment horizontal="left" readingOrder="0" vertical="top"/>
    </xf>
    <xf borderId="0" fillId="6" fontId="2" numFmtId="0" xfId="0" applyAlignment="1" applyFont="1">
      <alignment readingOrder="0"/>
    </xf>
    <xf borderId="0" fillId="0" fontId="2" numFmtId="0" xfId="0" applyAlignment="1" applyFont="1">
      <alignment horizontal="left" readingOrder="0" vertical="top"/>
    </xf>
    <xf borderId="0" fillId="6" fontId="1" numFmtId="0" xfId="0" applyAlignment="1" applyFont="1">
      <alignment horizontal="left"/>
    </xf>
    <xf borderId="0" fillId="0" fontId="1" numFmtId="164" xfId="0" applyAlignment="1" applyFont="1" applyNumberFormat="1">
      <alignment horizontal="left" readingOrder="0" vertical="top"/>
    </xf>
    <xf borderId="0" fillId="8" fontId="1" numFmtId="0" xfId="0" applyAlignment="1" applyFill="1" applyFon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14.5"/>
    <col customWidth="1" min="4" max="4" width="23.75"/>
    <col customWidth="1" min="5" max="5" width="23.0"/>
    <col customWidth="1" min="8" max="8" width="13.5"/>
    <col customWidth="1" min="9" max="9" width="21.75"/>
    <col customWidth="1" min="10" max="10" width="93.25"/>
    <col customWidth="1" min="14" max="14" width="30.63"/>
    <col customWidth="1" min="15" max="15" width="16.13"/>
  </cols>
  <sheetData>
    <row r="2">
      <c r="H2" s="1"/>
      <c r="I2" s="1"/>
    </row>
    <row r="3">
      <c r="B3" s="2" t="s">
        <v>0</v>
      </c>
      <c r="C3" s="2" t="s">
        <v>1</v>
      </c>
      <c r="D3" s="3" t="s">
        <v>2</v>
      </c>
      <c r="E3" s="4" t="s">
        <v>3</v>
      </c>
      <c r="H3" s="5" t="s">
        <v>4</v>
      </c>
      <c r="I3" s="5" t="s">
        <v>5</v>
      </c>
      <c r="J3" s="5" t="s">
        <v>6</v>
      </c>
      <c r="K3" s="6" t="s">
        <v>7</v>
      </c>
      <c r="L3" s="7" t="s">
        <v>8</v>
      </c>
      <c r="Q3" s="8"/>
    </row>
    <row r="4">
      <c r="B4" s="9" t="s">
        <v>9</v>
      </c>
      <c r="C4" s="9" t="s">
        <v>10</v>
      </c>
      <c r="D4" s="9" t="s">
        <v>11</v>
      </c>
      <c r="E4" s="9" t="s">
        <v>12</v>
      </c>
      <c r="H4" s="10" t="s">
        <v>13</v>
      </c>
      <c r="I4" s="9" t="s">
        <v>14</v>
      </c>
      <c r="J4" s="9" t="s">
        <v>15</v>
      </c>
      <c r="K4" s="11">
        <f>IFERROR(__xludf.DUMMYFUNCTION("SUMPRODUCT(IF(REGEXMATCH($D$4:$D$23, ""\b"" &amp; H4 &amp; ""\b""), 1, 0))"),9.0)</f>
        <v>9</v>
      </c>
      <c r="L4" s="9" t="s">
        <v>16</v>
      </c>
    </row>
    <row r="5">
      <c r="B5" s="9" t="s">
        <v>17</v>
      </c>
      <c r="C5" s="9" t="s">
        <v>18</v>
      </c>
      <c r="D5" s="9" t="s">
        <v>19</v>
      </c>
      <c r="E5" s="9" t="s">
        <v>20</v>
      </c>
      <c r="H5" s="10" t="s">
        <v>21</v>
      </c>
      <c r="I5" s="9" t="s">
        <v>22</v>
      </c>
      <c r="J5" s="9" t="s">
        <v>23</v>
      </c>
      <c r="K5" s="11">
        <f>IFERROR(__xludf.DUMMYFUNCTION("SUMPRODUCT(IF(REGEXMATCH($D$4:$D$23, ""\b"" &amp; H5 &amp; ""\b""), 1, 0))"),3.0)</f>
        <v>3</v>
      </c>
      <c r="L5" s="9" t="s">
        <v>24</v>
      </c>
    </row>
    <row r="6">
      <c r="B6" s="9" t="s">
        <v>25</v>
      </c>
      <c r="C6" s="9" t="s">
        <v>26</v>
      </c>
      <c r="D6" s="9" t="s">
        <v>27</v>
      </c>
      <c r="E6" s="9" t="s">
        <v>28</v>
      </c>
      <c r="H6" s="10" t="s">
        <v>29</v>
      </c>
      <c r="I6" s="9" t="s">
        <v>30</v>
      </c>
      <c r="J6" s="9" t="s">
        <v>31</v>
      </c>
      <c r="K6" s="11">
        <f>IFERROR(__xludf.DUMMYFUNCTION("SUMPRODUCT(IF(REGEXMATCH($D$4:$D$23, ""\b"" &amp; H6 &amp; ""\b""), 1, 0))"),11.0)</f>
        <v>11</v>
      </c>
      <c r="L6" s="9" t="s">
        <v>32</v>
      </c>
    </row>
    <row r="7">
      <c r="B7" s="9" t="s">
        <v>33</v>
      </c>
      <c r="C7" s="9" t="s">
        <v>34</v>
      </c>
      <c r="D7" s="9" t="s">
        <v>35</v>
      </c>
      <c r="E7" s="9" t="s">
        <v>36</v>
      </c>
      <c r="H7" s="10" t="s">
        <v>37</v>
      </c>
      <c r="I7" s="9" t="s">
        <v>38</v>
      </c>
      <c r="J7" s="9" t="s">
        <v>39</v>
      </c>
      <c r="K7" s="11">
        <f>IFERROR(__xludf.DUMMYFUNCTION("SUMPRODUCT(IF(REGEXMATCH($D$4:$D$23, ""\b"" &amp; H7 &amp; ""\b""), 1, 0))"),8.0)</f>
        <v>8</v>
      </c>
      <c r="L7" s="9" t="s">
        <v>40</v>
      </c>
    </row>
    <row r="8">
      <c r="B8" s="9" t="s">
        <v>41</v>
      </c>
      <c r="C8" s="9" t="s">
        <v>42</v>
      </c>
      <c r="D8" s="9" t="s">
        <v>43</v>
      </c>
      <c r="E8" s="9" t="s">
        <v>44</v>
      </c>
      <c r="H8" s="10" t="s">
        <v>45</v>
      </c>
      <c r="I8" s="9" t="s">
        <v>46</v>
      </c>
      <c r="J8" s="9" t="s">
        <v>47</v>
      </c>
      <c r="K8" s="11">
        <f>IFERROR(__xludf.DUMMYFUNCTION("SUMPRODUCT(IF(REGEXMATCH($D$4:$D$23, ""\b"" &amp; H8 &amp; ""\b""), 1, 0))"),12.0)</f>
        <v>12</v>
      </c>
      <c r="L8" s="9" t="s">
        <v>48</v>
      </c>
    </row>
    <row r="9">
      <c r="B9" s="9" t="s">
        <v>49</v>
      </c>
      <c r="C9" s="9" t="s">
        <v>50</v>
      </c>
      <c r="D9" s="9" t="s">
        <v>51</v>
      </c>
      <c r="E9" s="9" t="s">
        <v>52</v>
      </c>
      <c r="H9" s="9"/>
      <c r="I9" s="9"/>
      <c r="J9" s="9"/>
      <c r="K9" s="9"/>
      <c r="L9" s="12"/>
    </row>
    <row r="10">
      <c r="B10" s="9" t="s">
        <v>53</v>
      </c>
      <c r="C10" s="9" t="s">
        <v>54</v>
      </c>
      <c r="D10" s="9" t="s">
        <v>29</v>
      </c>
      <c r="E10" s="9" t="s">
        <v>12</v>
      </c>
      <c r="H10" s="4" t="s">
        <v>4</v>
      </c>
      <c r="I10" s="4" t="s">
        <v>5</v>
      </c>
      <c r="J10" s="4" t="s">
        <v>6</v>
      </c>
      <c r="K10" s="13" t="s">
        <v>7</v>
      </c>
      <c r="L10" s="14" t="s">
        <v>55</v>
      </c>
    </row>
    <row r="11">
      <c r="B11" s="9" t="s">
        <v>56</v>
      </c>
      <c r="C11" s="9" t="s">
        <v>57</v>
      </c>
      <c r="D11" s="9" t="s">
        <v>58</v>
      </c>
      <c r="E11" s="9" t="s">
        <v>59</v>
      </c>
      <c r="H11" s="10" t="s">
        <v>20</v>
      </c>
      <c r="I11" s="9" t="s">
        <v>60</v>
      </c>
      <c r="J11" s="9" t="s">
        <v>61</v>
      </c>
      <c r="K11" s="15">
        <f>IFERROR(__xludf.DUMMYFUNCTION("SUMPRODUCT(IF(REGEXMATCH($E$4:$E$23, ""\b"" &amp; H11 &amp; ""\b""), 1, 0))"),11.0)</f>
        <v>11</v>
      </c>
      <c r="L11" s="9" t="s">
        <v>62</v>
      </c>
    </row>
    <row r="12">
      <c r="B12" s="9" t="s">
        <v>63</v>
      </c>
      <c r="C12" s="9" t="s">
        <v>64</v>
      </c>
      <c r="D12" s="9" t="s">
        <v>65</v>
      </c>
      <c r="E12" s="9" t="s">
        <v>66</v>
      </c>
      <c r="H12" s="9" t="s">
        <v>67</v>
      </c>
      <c r="I12" s="9" t="s">
        <v>68</v>
      </c>
      <c r="J12" s="9" t="s">
        <v>69</v>
      </c>
      <c r="K12" s="15">
        <f>IFERROR(__xludf.DUMMYFUNCTION("SUMPRODUCT(IF(REGEXMATCH($E$4:$E$23, ""\b"" &amp; H12 &amp; ""\b""), 1, 0))"),11.0)</f>
        <v>11</v>
      </c>
      <c r="L12" s="9" t="s">
        <v>70</v>
      </c>
    </row>
    <row r="13">
      <c r="B13" s="9" t="s">
        <v>71</v>
      </c>
      <c r="C13" s="9" t="s">
        <v>72</v>
      </c>
      <c r="D13" s="9" t="s">
        <v>73</v>
      </c>
      <c r="E13" s="9" t="s">
        <v>12</v>
      </c>
      <c r="H13" s="9" t="s">
        <v>74</v>
      </c>
      <c r="I13" s="9" t="s">
        <v>75</v>
      </c>
      <c r="J13" s="9" t="s">
        <v>76</v>
      </c>
      <c r="K13" s="15">
        <f>IFERROR(__xludf.DUMMYFUNCTION("SUMPRODUCT(IF(REGEXMATCH($E$4:$E$23, ""\b"" &amp; H13 &amp; ""\b""), 1, 0))"),1.0)</f>
        <v>1</v>
      </c>
      <c r="L13" s="16" t="s">
        <v>77</v>
      </c>
    </row>
    <row r="14">
      <c r="B14" s="9" t="s">
        <v>78</v>
      </c>
      <c r="C14" s="9" t="s">
        <v>79</v>
      </c>
      <c r="D14" s="9" t="s">
        <v>65</v>
      </c>
      <c r="E14" s="9" t="s">
        <v>67</v>
      </c>
      <c r="H14" s="9" t="s">
        <v>80</v>
      </c>
      <c r="I14" s="9" t="s">
        <v>81</v>
      </c>
      <c r="J14" s="9" t="s">
        <v>82</v>
      </c>
      <c r="K14" s="15">
        <f>IFERROR(__xludf.DUMMYFUNCTION("SUMPRODUCT(IF(REGEXMATCH($E$4:$E$23, ""\b"" &amp; H14 &amp; ""\b""), 1, 0))"),2.0)</f>
        <v>2</v>
      </c>
      <c r="L14" s="9" t="s">
        <v>83</v>
      </c>
    </row>
    <row r="15">
      <c r="B15" s="9" t="s">
        <v>84</v>
      </c>
      <c r="C15" s="9" t="s">
        <v>85</v>
      </c>
      <c r="D15" s="9" t="s">
        <v>86</v>
      </c>
      <c r="E15" s="9" t="s">
        <v>87</v>
      </c>
      <c r="H15" s="9" t="s">
        <v>52</v>
      </c>
      <c r="I15" s="9" t="s">
        <v>88</v>
      </c>
      <c r="J15" s="9" t="s">
        <v>89</v>
      </c>
      <c r="K15" s="15">
        <f>IFERROR(__xludf.DUMMYFUNCTION("SUMPRODUCT(IF(REGEXMATCH($E$4:$E$23, ""\b"" &amp; H15 &amp; ""\b""), 1, 0))"),2.0)</f>
        <v>2</v>
      </c>
      <c r="L15" s="9" t="s">
        <v>90</v>
      </c>
    </row>
    <row r="16">
      <c r="B16" s="9" t="s">
        <v>91</v>
      </c>
      <c r="C16" s="9" t="s">
        <v>92</v>
      </c>
      <c r="D16" s="9" t="s">
        <v>51</v>
      </c>
      <c r="E16" s="9" t="s">
        <v>93</v>
      </c>
      <c r="H16" s="10" t="s">
        <v>36</v>
      </c>
      <c r="I16" s="9" t="s">
        <v>94</v>
      </c>
      <c r="J16" s="9" t="s">
        <v>95</v>
      </c>
      <c r="K16" s="15">
        <f>IFERROR(__xludf.DUMMYFUNCTION("SUMPRODUCT(IF(REGEXMATCH($E$4:$E$23, ""\b"" &amp; H16 &amp; ""\b""), 1, 0))"),7.0)</f>
        <v>7</v>
      </c>
      <c r="L16" s="9" t="s">
        <v>96</v>
      </c>
    </row>
    <row r="17">
      <c r="B17" s="9" t="s">
        <v>97</v>
      </c>
      <c r="C17" s="9" t="s">
        <v>98</v>
      </c>
      <c r="D17" s="9" t="s">
        <v>99</v>
      </c>
      <c r="E17" s="9" t="s">
        <v>36</v>
      </c>
      <c r="H17" s="9"/>
      <c r="I17" s="9"/>
      <c r="J17" s="9"/>
      <c r="K17" s="9"/>
      <c r="L17" s="12"/>
    </row>
    <row r="18">
      <c r="B18" s="9" t="s">
        <v>100</v>
      </c>
      <c r="C18" s="9" t="s">
        <v>101</v>
      </c>
      <c r="D18" s="9" t="s">
        <v>102</v>
      </c>
      <c r="E18" s="9" t="s">
        <v>87</v>
      </c>
      <c r="H18" s="16"/>
      <c r="I18" s="16"/>
      <c r="J18" s="16"/>
      <c r="K18" s="9"/>
      <c r="L18" s="12"/>
    </row>
    <row r="19">
      <c r="B19" s="9" t="s">
        <v>103</v>
      </c>
      <c r="C19" s="9" t="s">
        <v>104</v>
      </c>
      <c r="D19" s="9" t="s">
        <v>105</v>
      </c>
      <c r="E19" s="9" t="s">
        <v>67</v>
      </c>
      <c r="H19" s="9"/>
      <c r="I19" s="9"/>
      <c r="J19" s="9"/>
      <c r="K19" s="9"/>
      <c r="L19" s="12"/>
      <c r="N19" s="17" t="s">
        <v>106</v>
      </c>
      <c r="O19" s="17" t="s">
        <v>107</v>
      </c>
      <c r="P19" s="17" t="s">
        <v>7</v>
      </c>
    </row>
    <row r="20">
      <c r="B20" s="9" t="s">
        <v>108</v>
      </c>
      <c r="C20" s="9" t="s">
        <v>109</v>
      </c>
      <c r="D20" s="9" t="s">
        <v>51</v>
      </c>
      <c r="E20" s="9" t="s">
        <v>110</v>
      </c>
      <c r="H20" s="9"/>
      <c r="I20" s="9"/>
      <c r="J20" s="9"/>
      <c r="K20" s="9"/>
      <c r="L20" s="12"/>
      <c r="N20" s="1" t="s">
        <v>111</v>
      </c>
      <c r="O20" s="1" t="s">
        <v>112</v>
      </c>
      <c r="P20" s="1">
        <f>K4 + K16 + K6</f>
        <v>27</v>
      </c>
    </row>
    <row r="21">
      <c r="B21" s="9" t="s">
        <v>113</v>
      </c>
      <c r="C21" s="9" t="s">
        <v>114</v>
      </c>
      <c r="D21" s="9" t="s">
        <v>86</v>
      </c>
      <c r="E21" s="9" t="s">
        <v>66</v>
      </c>
      <c r="H21" s="9"/>
      <c r="I21" s="9"/>
      <c r="J21" s="9"/>
      <c r="K21" s="9"/>
      <c r="N21" s="1" t="s">
        <v>115</v>
      </c>
      <c r="O21" s="1" t="s">
        <v>116</v>
      </c>
      <c r="P21" s="1">
        <f>K4+K7+P22</f>
        <v>31</v>
      </c>
    </row>
    <row r="22">
      <c r="B22" s="9" t="s">
        <v>117</v>
      </c>
      <c r="C22" s="9" t="s">
        <v>118</v>
      </c>
      <c r="D22" s="9" t="s">
        <v>29</v>
      </c>
      <c r="E22" s="9" t="s">
        <v>12</v>
      </c>
      <c r="H22" s="9"/>
      <c r="I22" s="9"/>
      <c r="J22" s="9"/>
      <c r="K22" s="9"/>
      <c r="N22" s="1" t="s">
        <v>119</v>
      </c>
      <c r="O22" s="1" t="s">
        <v>120</v>
      </c>
      <c r="P22" s="1">
        <f>K12+K5</f>
        <v>14</v>
      </c>
    </row>
    <row r="23">
      <c r="B23" s="9" t="s">
        <v>121</v>
      </c>
      <c r="C23" s="9" t="s">
        <v>122</v>
      </c>
      <c r="D23" s="9" t="s">
        <v>51</v>
      </c>
      <c r="E23" s="9" t="s">
        <v>59</v>
      </c>
      <c r="H23" s="9"/>
      <c r="I23" s="9"/>
      <c r="J23" s="9"/>
      <c r="N23" s="1" t="s">
        <v>123</v>
      </c>
      <c r="O23" s="1" t="s">
        <v>124</v>
      </c>
      <c r="P23" s="1">
        <f>K14+K15</f>
        <v>4</v>
      </c>
    </row>
    <row r="24">
      <c r="H24" s="7"/>
      <c r="I24" s="7"/>
      <c r="J24" s="7"/>
    </row>
    <row r="25">
      <c r="H25" s="7"/>
      <c r="I25" s="7"/>
      <c r="J25" s="7"/>
    </row>
    <row r="26">
      <c r="H26" s="9"/>
      <c r="I26" s="9"/>
      <c r="J26" s="9"/>
      <c r="K26" s="18"/>
    </row>
    <row r="27">
      <c r="H27" s="9"/>
      <c r="I27" s="9"/>
      <c r="J27" s="9"/>
      <c r="K27" s="18"/>
    </row>
    <row r="28">
      <c r="H28" s="9"/>
      <c r="I28" s="9"/>
      <c r="J28" s="9"/>
      <c r="K28" s="18"/>
    </row>
    <row r="29">
      <c r="H29" s="9"/>
      <c r="I29" s="9"/>
      <c r="J29" s="9"/>
      <c r="K29" s="18"/>
    </row>
    <row r="30">
      <c r="H30" s="9"/>
      <c r="I30" s="9"/>
      <c r="J30" s="9"/>
      <c r="K30" s="18"/>
    </row>
    <row r="31">
      <c r="H31" s="9"/>
      <c r="I31" s="9"/>
      <c r="J31" s="9"/>
      <c r="K31" s="18"/>
    </row>
    <row r="32">
      <c r="H32" s="9"/>
      <c r="I32" s="9"/>
      <c r="J32" s="9"/>
      <c r="K32" s="18"/>
    </row>
    <row r="33">
      <c r="H33" s="9"/>
      <c r="I33" s="9"/>
      <c r="J33" s="9"/>
      <c r="K33" s="18"/>
    </row>
    <row r="34">
      <c r="H34" s="9"/>
      <c r="I34" s="9"/>
      <c r="J34" s="9"/>
      <c r="K34" s="18"/>
    </row>
    <row r="35">
      <c r="H35" s="9"/>
      <c r="I35" s="9"/>
      <c r="J35" s="9"/>
      <c r="K35" s="18"/>
    </row>
    <row r="36">
      <c r="H36" s="9"/>
      <c r="I36" s="9"/>
      <c r="J36" s="9"/>
      <c r="K36" s="18"/>
    </row>
    <row r="37">
      <c r="H37" s="9"/>
      <c r="I37" s="9"/>
      <c r="J37" s="9"/>
      <c r="K37" s="18"/>
    </row>
    <row r="38">
      <c r="H38" s="9"/>
      <c r="I38" s="9"/>
      <c r="J38" s="9"/>
      <c r="K38" s="18"/>
    </row>
    <row r="39">
      <c r="H39" s="9"/>
      <c r="I39" s="9"/>
      <c r="J39" s="9"/>
      <c r="K39" s="18"/>
    </row>
    <row r="40">
      <c r="H40" s="9"/>
      <c r="I40" s="9"/>
      <c r="J40" s="9"/>
      <c r="K40" s="18"/>
    </row>
    <row r="41">
      <c r="H41" s="9"/>
      <c r="I41" s="9"/>
      <c r="J41" s="9"/>
      <c r="K41" s="18"/>
    </row>
    <row r="42">
      <c r="H42" s="9"/>
      <c r="I42" s="9"/>
      <c r="J42" s="9"/>
      <c r="K42" s="18"/>
    </row>
    <row r="43">
      <c r="H43" s="9"/>
      <c r="I43" s="9"/>
      <c r="J43" s="9"/>
      <c r="K43" s="18"/>
    </row>
    <row r="44">
      <c r="H44" s="9"/>
      <c r="I44" s="9"/>
      <c r="J44" s="9"/>
      <c r="K44" s="18"/>
    </row>
    <row r="45">
      <c r="H45" s="9"/>
      <c r="I45" s="9"/>
      <c r="J45" s="9"/>
      <c r="K45" s="18"/>
    </row>
    <row r="46">
      <c r="H46" s="9"/>
      <c r="I46" s="9"/>
      <c r="J46" s="9"/>
      <c r="K46" s="18"/>
    </row>
    <row r="47">
      <c r="H47" s="9"/>
      <c r="I47" s="9"/>
      <c r="J47" s="9"/>
      <c r="K47" s="18"/>
    </row>
    <row r="48">
      <c r="H48" s="9"/>
      <c r="I48" s="9"/>
      <c r="J48" s="9"/>
      <c r="K48" s="18"/>
    </row>
    <row r="49">
      <c r="H49" s="9"/>
      <c r="I49" s="9"/>
      <c r="J49" s="9"/>
      <c r="K49" s="18"/>
    </row>
    <row r="50">
      <c r="H50" s="9"/>
      <c r="I50" s="9"/>
      <c r="J50" s="9"/>
      <c r="K50" s="18"/>
    </row>
    <row r="51">
      <c r="H51" s="9"/>
      <c r="I51" s="9"/>
      <c r="J51" s="9"/>
      <c r="K51" s="18"/>
    </row>
  </sheetData>
  <drawing r:id="rId1"/>
</worksheet>
</file>